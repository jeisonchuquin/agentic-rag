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ocumentos\USFQ\tesis\USFQ-RAG\images\"/>
    </mc:Choice>
  </mc:AlternateContent>
  <xr:revisionPtr revIDLastSave="0" documentId="13_ncr:1_{2A75C0A1-298E-4AC5-BBBA-328DFA4273E5}" xr6:coauthVersionLast="47" xr6:coauthVersionMax="47" xr10:uidLastSave="{00000000-0000-0000-0000-000000000000}"/>
  <bookViews>
    <workbookView xWindow="-120" yWindow="-120" windowWidth="29040" windowHeight="15720" xr2:uid="{4C425509-4C2D-43B2-9F60-95603C68BF37}"/>
  </bookViews>
  <sheets>
    <sheet name="Hoja1" sheetId="1" r:id="rId1"/>
  </sheets>
  <calcPr calcId="191029"/>
  <pivotCaches>
    <pivotCache cacheId="42" r:id="rId2"/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<sst xmlns="http://schemas.openxmlformats.org/spreadsheetml/2006/main" count="98" uniqueCount="17">
  <si>
    <t>Correctness</t>
  </si>
  <si>
    <t>Groundedness</t>
  </si>
  <si>
    <t>Helpfulness</t>
  </si>
  <si>
    <t>Retrieval_relevance</t>
  </si>
  <si>
    <t>Configuración</t>
  </si>
  <si>
    <t>Métrica</t>
  </si>
  <si>
    <t>Score</t>
  </si>
  <si>
    <t>usfq-qa-dataset-v2</t>
  </si>
  <si>
    <t>preguntasyrespuestas_clean</t>
  </si>
  <si>
    <t>RAG o3</t>
  </si>
  <si>
    <t>Graph RAG o3</t>
  </si>
  <si>
    <t>Graph RAG 4o mini</t>
  </si>
  <si>
    <t>Graph RAG 5o mini</t>
  </si>
  <si>
    <t>Suma de Score</t>
  </si>
  <si>
    <t>Etiquetas de columna</t>
  </si>
  <si>
    <t>Total general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</si>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</sst>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1" applyNumberFormat="1" applyFont="1" applyAlignment="1">
      <alignment vertical="center" wrapText="1"/>
    </xf>
    <xf numFmtId="10" fontId="0" fillId="0" borderId="0" xfId="0" applyNumberFormat="1"/>
    <xf numFmtId="168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[metrics.xlsx]Hoja1!TablaDinámica13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Hoja1!$B$21:$B$22</c:f>
              <c:strCache>
                <c:ptCount val="1"/>
                <c:pt idx="0">
                  <c:v>Graph RAG 4o 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Hoja1!$A$23:$A$27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Hoja1!$B$23:$B$27</c:f>
              <c:numCache>
                <c:formatCode>0.00%</c:formatCode>
                <c:ptCount val="4"/>
                <c:pt idx="0">
                  <c:v>0.85888888900000004</c:v>
                </c:pt>
                <c:pt idx="1">
                  <c:v>0.99722222199999999</c:v>
                </c:pt>
                <c:pt idx="2">
                  <c:v>0.96499999999999997</c:v>
                </c:pt>
                <c:pt idx="3">
                  <c:v>0.97374301699999999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4-4FD0-8D7D-178E64AF9A88}"/>
            </c:ext>
          </c:extLst>
        </c:ser>
        <c:ser>
          <c:idx val="1"/>
          <c:order val="1"/>
          <c:tx>
            <c:strRef>
              <c:f>Hoja1!$C$21:$C$22</c:f>
              <c:strCache>
                <c:ptCount val="1"/>
                <c:pt idx="0">
                  <c:v>Graph RAG 5o 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Hoja1!$A$23:$A$27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Hoja1!$C$23:$C$27</c:f>
              <c:numCache>
                <c:formatCode>0.00%</c:formatCode>
                <c:ptCount val="4"/>
                <c:pt idx="0">
                  <c:v>0.89888888899999997</c:v>
                </c:pt>
                <c:pt idx="1">
                  <c:v>0.98872222200000004</c:v>
                </c:pt>
                <c:pt idx="2">
                  <c:v>0.922666667</c:v>
                </c:pt>
                <c:pt idx="3">
                  <c:v>0.95472222200000001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4-4FD0-8D7D-178E64AF9A88}"/>
            </c:ext>
          </c:extLst>
        </c:ser>
        <c:ser>
          <c:idx val="2"/>
          <c:order val="2"/>
          <c:tx>
            <c:strRef>
              <c:f>Hoja1!$D$21:$D$22</c:f>
              <c:strCache>
                <c:ptCount val="1"/>
                <c:pt idx="0">
                  <c:v>Graph RAG o3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Hoja1!$A$23:$A$27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Hoja1!$D$23:$D$27</c:f>
              <c:numCache>
                <c:formatCode>0.00%</c:formatCode>
                <c:ptCount val="4"/>
                <c:pt idx="0">
                  <c:v>0.69067039100000005</c:v>
                </c:pt>
                <c:pt idx="1">
                  <c:v>0.94223463699999999</c:v>
                </c:pt>
                <c:pt idx="2">
                  <c:v>0.80536312799999998</c:v>
                </c:pt>
                <c:pt idx="3">
                  <c:v>0.90586592200000005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4-4FD0-8D7D-178E64AF9A88}"/>
            </c:ext>
          </c:extLst>
        </c:ser>
        <c:ser>
          <c:idx val="3"/>
          <c:order val="3"/>
          <c:tx>
            <c:strRef>
              <c:f>Hoja1!$E$21:$E$22</c:f>
              <c:strCache>
                <c:ptCount val="1"/>
                <c:pt idx="0">
                  <c:v>RAG o3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Hoja1!$A$23:$A$27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Hoja1!$E$23:$E$27</c:f>
              <c:numCache>
                <c:formatCode>0.00%</c:formatCode>
                <c:ptCount val="4"/>
                <c:pt idx="0">
                  <c:v>0.59433333300000002</c:v>
                </c:pt>
                <c:pt idx="1">
                  <c:v>0.88988888899999996</c:v>
                </c:pt>
                <c:pt idx="2">
                  <c:v>0.65988888899999998</c:v>
                </c:pt>
                <c:pt idx="3">
                  <c:v>0.66816666700000005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14-4FD0-8D7D-178E64AF9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253407"/>
        <c:axId val="325254367"/>
      </c:barChart>
      <c:catAx>
        <c:axId val="32525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5254367"/>
        <c:crosses val="autoZero"/>
        <c:auto val="1"/>
        <c:lblAlgn val="ctr"/>
        <c:lblOffset val="100"/>
        <c:noMultiLvlLbl val="0"/>
      </c:catAx>
      <c:valAx>
        <c:axId val="3252543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525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[metrics.xlsx]Hoja1!TablaDinámica14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Hoja1!$I$21:$I$22</c:f>
              <c:strCache>
                <c:ptCount val="1"/>
                <c:pt idx="0">
                  <c:v>Graph RAG 4o 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Hoja1!$H$23:$H$27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Hoja1!$I$23:$I$27</c:f>
              <c:numCache>
                <c:formatCode>0.0%</c:formatCode>
                <c:ptCount val="4"/>
                <c:pt idx="0">
                  <c:v>0.83896353199999996</c:v>
                </c:pt>
                <c:pt idx="1">
                  <c:v>0.98355769199999998</c:v>
                </c:pt>
                <c:pt idx="2">
                  <c:v>0.96046065300000005</c:v>
                </c:pt>
                <c:pt idx="3">
                  <c:v>0.97811900200000002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6-408D-8D9B-0FDD997AB53B}"/>
            </c:ext>
          </c:extLst>
        </c:ser>
        <c:ser>
          <c:idx val="1"/>
          <c:order val="1"/>
          <c:tx>
            <c:strRef>
              <c:f>Hoja1!$J$21:$J$22</c:f>
              <c:strCache>
                <c:ptCount val="1"/>
                <c:pt idx="0">
                  <c:v>Graph RAG 5o 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Hoja1!$H$23:$H$27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Hoja1!$J$23:$J$27</c:f>
              <c:numCache>
                <c:formatCode>0.0%</c:formatCode>
                <c:ptCount val="4"/>
                <c:pt idx="0">
                  <c:v>0.76644230800000002</c:v>
                </c:pt>
                <c:pt idx="1">
                  <c:v>0.97046153800000001</c:v>
                </c:pt>
                <c:pt idx="2">
                  <c:v>0.90684615400000002</c:v>
                </c:pt>
                <c:pt idx="3">
                  <c:v>0.95194604999999999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6-408D-8D9B-0FDD997AB53B}"/>
            </c:ext>
          </c:extLst>
        </c:ser>
        <c:ser>
          <c:idx val="2"/>
          <c:order val="2"/>
          <c:tx>
            <c:strRef>
              <c:f>Hoja1!$K$21:$K$22</c:f>
              <c:strCache>
                <c:ptCount val="1"/>
                <c:pt idx="0">
                  <c:v>Graph RAG o3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Hoja1!$H$23:$H$27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Hoja1!$K$23:$K$27</c:f>
              <c:numCache>
                <c:formatCode>0.0%</c:formatCode>
                <c:ptCount val="4"/>
                <c:pt idx="0">
                  <c:v>0.64224371400000002</c:v>
                </c:pt>
                <c:pt idx="1">
                  <c:v>0.94365570600000004</c:v>
                </c:pt>
                <c:pt idx="2">
                  <c:v>0.79361702099999998</c:v>
                </c:pt>
                <c:pt idx="3">
                  <c:v>0.92156673099999997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6-408D-8D9B-0FDD997AB53B}"/>
            </c:ext>
          </c:extLst>
        </c:ser>
        <c:ser>
          <c:idx val="3"/>
          <c:order val="3"/>
          <c:tx>
            <c:strRef>
              <c:f>Hoja1!$L$21:$L$22</c:f>
              <c:strCache>
                <c:ptCount val="1"/>
                <c:pt idx="0">
                  <c:v>RAG o3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Hoja1!$H$23:$H$27</c:f>
              <c:strCache>
                <c:ptCount val="4"/>
                <c:pt idx="0">
                  <c:v>Correctness</c:v>
                </c:pt>
                <c:pt idx="1">
                  <c:v>Groundedness</c:v>
                </c:pt>
                <c:pt idx="2">
                  <c:v>Helpfulness</c:v>
                </c:pt>
                <c:pt idx="3">
                  <c:v>Retrieval_relevance</c:v>
                </c:pt>
              </c:strCache>
            </c:strRef>
          </c:cat>
          <c:val>
            <c:numRef>
              <c:f>Hoja1!$L$23:$L$27</c:f>
              <c:numCache>
                <c:formatCode>0.0%</c:formatCode>
                <c:ptCount val="4"/>
                <c:pt idx="0">
                  <c:v>0.78520153599999998</c:v>
                </c:pt>
                <c:pt idx="1">
                  <c:v>0.92953934699999996</c:v>
                </c:pt>
                <c:pt idx="2">
                  <c:v>0.83013435700000004</c:v>
                </c:pt>
                <c:pt idx="3">
                  <c:v>0.83748560500000002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6-408D-8D9B-0FDD997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927856"/>
        <c:axId val="687221232"/>
      </c:barChart>
      <c:catAx>
        <c:axId val="68592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87221232"/>
        <c:crosses val="autoZero"/>
        <c:auto val="1"/>
        <c:lblAlgn val="ctr"/>
        <c:lblOffset val="100"/>
        <c:noMultiLvlLbl val="0"/>
      </c:catAx>
      <c:valAx>
        <c:axId val="6872212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8592785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27</xdr:row>
      <xdr:rowOff>138112</xdr:rowOff>
    </xdr:from>
    <xdr:to>
      <xdr:col>6</xdr:col>
      <xdr:colOff>542924</xdr:colOff>
      <xdr:row>42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3DB832-8945-D72F-E07D-6E472931D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27</xdr:row>
      <xdr:rowOff>147637</xdr:rowOff>
    </xdr:from>
    <xdr:to>
      <xdr:col>12</xdr:col>
      <xdr:colOff>790575</xdr:colOff>
      <xdr:row>42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D831BF-D754-4F6D-1A0E-3F0950A20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ysson Chuquin" refreshedDate="45942.802463888889" createdVersion="8" refreshedVersion="8" minRefreshableVersion="3" recordCount="16" xr:uid="{3EF7623F-8580-47F7-8495-793E2BA29D9E}">
  <cacheSource type="worksheet">
    <worksheetSource ref="A2:C18" sheet="Hoja1"/>
  </cacheSource>
  <cacheFields count="3">
    <cacheField name="Configuración" numFmtId="0">
      <sharedItems count="4">
        <s v="RAG o3"/>
        <s v="Graph RAG o3"/>
        <s v="Graph RAG 4o mini"/>
        <s v="Graph RAG 5o mini"/>
      </sharedItems>
    </cacheField>
    <cacheField name="Métrica" numFmtId="0">
      <sharedItems count="4">
        <s v="Correctness"/>
        <s v="Groundedness"/>
        <s v="Helpfulness"/>
        <s v="Retrieval_relevance"/>
      </sharedItems>
    </cacheField>
    <cacheField name="Score" numFmtId="168">
      <sharedItems containsSemiMixedTypes="0" containsString="0" containsNumber="1" minValue="0.59433333300000002" maxValue="0.9972222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ysson Chuquin" refreshedDate="45942.803875810183" createdVersion="8" refreshedVersion="8" minRefreshableVersion="3" recordCount="16" xr:uid="{064B0CD4-A60E-48E4-BCE4-CBDE4653FCD4}">
  <cacheSource type="worksheet">
    <worksheetSource ref="H2:J18" sheet="Hoja1"/>
  </cacheSource>
  <cacheFields count="3">
    <cacheField name="Configuración" numFmtId="0">
      <sharedItems count="4">
        <s v="RAG o3"/>
        <s v="Graph RAG o3"/>
        <s v="Graph RAG 4o mini"/>
        <s v="Graph RAG 5o mini"/>
      </sharedItems>
    </cacheField>
    <cacheField name="Métrica" numFmtId="0">
      <sharedItems count="4">
        <s v="Correctness"/>
        <s v="Groundedness"/>
        <s v="Helpfulness"/>
        <s v="Retrieval_relevance"/>
      </sharedItems>
    </cacheField>
    <cacheField name="Score" numFmtId="168">
      <sharedItems containsSemiMixedTypes="0" containsString="0" containsNumber="1" minValue="0.64224371400000002" maxValue="0.983557691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0.59433333300000002"/>
  </r>
  <r>
    <x v="0"/>
    <x v="1"/>
    <n v="0.88988888899999996"/>
  </r>
  <r>
    <x v="0"/>
    <x v="2"/>
    <n v="0.65988888899999998"/>
  </r>
  <r>
    <x v="0"/>
    <x v="3"/>
    <n v="0.66816666700000005"/>
  </r>
  <r>
    <x v="1"/>
    <x v="0"/>
    <n v="0.69067039100000005"/>
  </r>
  <r>
    <x v="1"/>
    <x v="1"/>
    <n v="0.94223463699999999"/>
  </r>
  <r>
    <x v="1"/>
    <x v="2"/>
    <n v="0.80536312799999998"/>
  </r>
  <r>
    <x v="1"/>
    <x v="3"/>
    <n v="0.90586592200000005"/>
  </r>
  <r>
    <x v="2"/>
    <x v="0"/>
    <n v="0.85888888900000004"/>
  </r>
  <r>
    <x v="2"/>
    <x v="1"/>
    <n v="0.99722222199999999"/>
  </r>
  <r>
    <x v="2"/>
    <x v="2"/>
    <n v="0.96499999999999997"/>
  </r>
  <r>
    <x v="2"/>
    <x v="3"/>
    <n v="0.97374301699999999"/>
  </r>
  <r>
    <x v="3"/>
    <x v="0"/>
    <n v="0.89888888899999997"/>
  </r>
  <r>
    <x v="3"/>
    <x v="1"/>
    <n v="0.98872222200000004"/>
  </r>
  <r>
    <x v="3"/>
    <x v="2"/>
    <n v="0.922666667"/>
  </r>
  <r>
    <x v="3"/>
    <x v="3"/>
    <n v="0.954722222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0.78520153599999998"/>
  </r>
  <r>
    <x v="0"/>
    <x v="1"/>
    <n v="0.92953934699999996"/>
  </r>
  <r>
    <x v="0"/>
    <x v="2"/>
    <n v="0.83013435700000004"/>
  </r>
  <r>
    <x v="0"/>
    <x v="3"/>
    <n v="0.83748560500000002"/>
  </r>
  <r>
    <x v="1"/>
    <x v="0"/>
    <n v="0.64224371400000002"/>
  </r>
  <r>
    <x v="1"/>
    <x v="1"/>
    <n v="0.94365570600000004"/>
  </r>
  <r>
    <x v="1"/>
    <x v="2"/>
    <n v="0.79361702099999998"/>
  </r>
  <r>
    <x v="1"/>
    <x v="3"/>
    <n v="0.92156673099999997"/>
  </r>
  <r>
    <x v="2"/>
    <x v="0"/>
    <n v="0.83896353199999996"/>
  </r>
  <r>
    <x v="2"/>
    <x v="1"/>
    <n v="0.98355769199999998"/>
  </r>
  <r>
    <x v="2"/>
    <x v="2"/>
    <n v="0.96046065300000005"/>
  </r>
  <r>
    <x v="2"/>
    <x v="3"/>
    <n v="0.97811900200000002"/>
  </r>
  <r>
    <x v="3"/>
    <x v="0"/>
    <n v="0.76644230800000002"/>
  </r>
  <r>
    <x v="3"/>
    <x v="1"/>
    <n v="0.97046153800000001"/>
  </r>
  <r>
    <x v="3"/>
    <x v="2"/>
    <n v="0.90684615400000002"/>
  </r>
  <r>
    <x v="3"/>
    <x v="3"/>
    <n v="0.95194604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02FB3-9569-4D0A-B97C-B3AA0E2CD09E}" name="TablaDinámica14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H21:M27" firstHeaderRow="1" firstDataRow="2" firstDataCol="1"/>
  <pivotFields count="3"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8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de Score" fld="2" baseField="0" baseItem="0" numFmtId="168"/>
  </dataFields>
  <chartFormats count="2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F8118-E411-4470-BE35-954F8B5ADE2C}" name="TablaDinámica13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1:F27" firstHeaderRow="1" firstDataRow="2" firstDataCol="1"/>
  <pivotFields count="3"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de Score" fld="2" baseField="1" baseItem="2" numFmtId="10"/>
  </dataFields>
  <chartFormats count="23">
    <chartFormat chart="0" format="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847B-1103-4617-ACFD-5F02ED007D35}">
  <dimension ref="A1:M27"/>
  <sheetViews>
    <sheetView tabSelected="1" workbookViewId="0">
      <selection activeCell="O7" sqref="O7"/>
    </sheetView>
  </sheetViews>
  <sheetFormatPr baseColWidth="10" defaultRowHeight="15" x14ac:dyDescent="0.25"/>
  <cols>
    <col min="1" max="1" width="18" bestFit="1" customWidth="1"/>
    <col min="2" max="2" width="22.85546875" bestFit="1" customWidth="1"/>
    <col min="3" max="3" width="17.85546875" bestFit="1" customWidth="1"/>
    <col min="4" max="4" width="13.28515625" bestFit="1" customWidth="1"/>
    <col min="5" max="5" width="8.140625" bestFit="1" customWidth="1"/>
    <col min="6" max="6" width="12.5703125" bestFit="1" customWidth="1"/>
    <col min="7" max="7" width="17.85546875" bestFit="1" customWidth="1"/>
    <col min="8" max="8" width="18" bestFit="1" customWidth="1"/>
    <col min="9" max="9" width="22.85546875" bestFit="1" customWidth="1"/>
    <col min="10" max="10" width="17.85546875" bestFit="1" customWidth="1"/>
    <col min="11" max="11" width="13.28515625" bestFit="1" customWidth="1"/>
    <col min="12" max="12" width="7.42578125" bestFit="1" customWidth="1"/>
    <col min="13" max="13" width="12.5703125" bestFit="1" customWidth="1"/>
    <col min="14" max="15" width="17.85546875" bestFit="1" customWidth="1"/>
    <col min="16" max="16" width="13.28515625" bestFit="1" customWidth="1"/>
    <col min="17" max="17" width="7.42578125" bestFit="1" customWidth="1"/>
    <col min="18" max="18" width="19.28515625" bestFit="1" customWidth="1"/>
    <col min="19" max="20" width="17.85546875" bestFit="1" customWidth="1"/>
    <col min="21" max="21" width="13.28515625" bestFit="1" customWidth="1"/>
    <col min="22" max="22" width="7.42578125" bestFit="1" customWidth="1"/>
    <col min="23" max="23" width="17" bestFit="1" customWidth="1"/>
    <col min="24" max="24" width="20.85546875" bestFit="1" customWidth="1"/>
    <col min="25" max="25" width="17.85546875" bestFit="1" customWidth="1"/>
    <col min="26" max="26" width="13.28515625" bestFit="1" customWidth="1"/>
    <col min="27" max="27" width="7.42578125" bestFit="1" customWidth="1"/>
    <col min="28" max="28" width="24" bestFit="1" customWidth="1"/>
    <col min="29" max="29" width="12.5703125" bestFit="1" customWidth="1"/>
  </cols>
  <sheetData>
    <row r="1" spans="1:10" x14ac:dyDescent="0.25">
      <c r="A1" s="2" t="s">
        <v>7</v>
      </c>
      <c r="H1" s="2" t="s">
        <v>8</v>
      </c>
    </row>
    <row r="2" spans="1:10" x14ac:dyDescent="0.25">
      <c r="A2" s="2" t="s">
        <v>4</v>
      </c>
      <c r="B2" s="2" t="s">
        <v>5</v>
      </c>
      <c r="C2" s="2" t="s">
        <v>6</v>
      </c>
      <c r="H2" s="2" t="s">
        <v>4</v>
      </c>
      <c r="I2" s="2" t="s">
        <v>5</v>
      </c>
      <c r="J2" s="2" t="s">
        <v>6</v>
      </c>
    </row>
    <row r="3" spans="1:10" x14ac:dyDescent="0.25">
      <c r="A3" t="s">
        <v>9</v>
      </c>
      <c r="B3" s="1" t="s">
        <v>0</v>
      </c>
      <c r="C3" s="5">
        <v>0.59433333300000002</v>
      </c>
      <c r="H3" t="s">
        <v>9</v>
      </c>
      <c r="I3" s="1" t="s">
        <v>0</v>
      </c>
      <c r="J3" s="5">
        <v>0.78520153599999998</v>
      </c>
    </row>
    <row r="4" spans="1:10" ht="30" x14ac:dyDescent="0.25">
      <c r="A4" t="s">
        <v>9</v>
      </c>
      <c r="B4" s="1" t="s">
        <v>1</v>
      </c>
      <c r="C4" s="5">
        <v>0.88988888899999996</v>
      </c>
      <c r="H4" t="s">
        <v>9</v>
      </c>
      <c r="I4" s="1" t="s">
        <v>1</v>
      </c>
      <c r="J4" s="5">
        <v>0.92953934699999996</v>
      </c>
    </row>
    <row r="5" spans="1:10" x14ac:dyDescent="0.25">
      <c r="A5" t="s">
        <v>9</v>
      </c>
      <c r="B5" s="1" t="s">
        <v>2</v>
      </c>
      <c r="C5" s="5">
        <v>0.65988888899999998</v>
      </c>
      <c r="H5" t="s">
        <v>9</v>
      </c>
      <c r="I5" s="1" t="s">
        <v>2</v>
      </c>
      <c r="J5" s="5">
        <v>0.83013435700000004</v>
      </c>
    </row>
    <row r="6" spans="1:10" ht="30" x14ac:dyDescent="0.25">
      <c r="A6" t="s">
        <v>9</v>
      </c>
      <c r="B6" s="1" t="s">
        <v>3</v>
      </c>
      <c r="C6" s="5">
        <v>0.66816666700000005</v>
      </c>
      <c r="H6" t="s">
        <v>9</v>
      </c>
      <c r="I6" s="1" t="s">
        <v>3</v>
      </c>
      <c r="J6" s="5">
        <v>0.83748560500000002</v>
      </c>
    </row>
    <row r="7" spans="1:10" x14ac:dyDescent="0.25">
      <c r="A7" t="s">
        <v>10</v>
      </c>
      <c r="B7" s="1" t="s">
        <v>0</v>
      </c>
      <c r="C7" s="5">
        <v>0.69067039100000005</v>
      </c>
      <c r="H7" t="s">
        <v>10</v>
      </c>
      <c r="I7" s="1" t="s">
        <v>0</v>
      </c>
      <c r="J7" s="5">
        <v>0.64224371400000002</v>
      </c>
    </row>
    <row r="8" spans="1:10" ht="30" x14ac:dyDescent="0.25">
      <c r="A8" t="s">
        <v>10</v>
      </c>
      <c r="B8" s="1" t="s">
        <v>1</v>
      </c>
      <c r="C8" s="5">
        <v>0.94223463699999999</v>
      </c>
      <c r="H8" t="s">
        <v>10</v>
      </c>
      <c r="I8" s="1" t="s">
        <v>1</v>
      </c>
      <c r="J8" s="5">
        <v>0.94365570600000004</v>
      </c>
    </row>
    <row r="9" spans="1:10" x14ac:dyDescent="0.25">
      <c r="A9" t="s">
        <v>10</v>
      </c>
      <c r="B9" s="1" t="s">
        <v>2</v>
      </c>
      <c r="C9" s="5">
        <v>0.80536312799999998</v>
      </c>
      <c r="H9" t="s">
        <v>10</v>
      </c>
      <c r="I9" s="1" t="s">
        <v>2</v>
      </c>
      <c r="J9" s="5">
        <v>0.79361702099999998</v>
      </c>
    </row>
    <row r="10" spans="1:10" ht="30" x14ac:dyDescent="0.25">
      <c r="A10" t="s">
        <v>10</v>
      </c>
      <c r="B10" s="1" t="s">
        <v>3</v>
      </c>
      <c r="C10" s="5">
        <v>0.90586592200000005</v>
      </c>
      <c r="H10" t="s">
        <v>10</v>
      </c>
      <c r="I10" s="1" t="s">
        <v>3</v>
      </c>
      <c r="J10" s="5">
        <v>0.92156673099999997</v>
      </c>
    </row>
    <row r="11" spans="1:10" x14ac:dyDescent="0.25">
      <c r="A11" t="s">
        <v>11</v>
      </c>
      <c r="B11" s="1" t="s">
        <v>0</v>
      </c>
      <c r="C11" s="5">
        <v>0.85888888900000004</v>
      </c>
      <c r="H11" t="s">
        <v>11</v>
      </c>
      <c r="I11" s="1" t="s">
        <v>0</v>
      </c>
      <c r="J11" s="5">
        <v>0.83896353199999996</v>
      </c>
    </row>
    <row r="12" spans="1:10" ht="30" x14ac:dyDescent="0.25">
      <c r="A12" t="s">
        <v>11</v>
      </c>
      <c r="B12" s="1" t="s">
        <v>1</v>
      </c>
      <c r="C12" s="5">
        <v>0.99722222199999999</v>
      </c>
      <c r="H12" t="s">
        <v>11</v>
      </c>
      <c r="I12" s="1" t="s">
        <v>1</v>
      </c>
      <c r="J12" s="5">
        <v>0.98355769199999998</v>
      </c>
    </row>
    <row r="13" spans="1:10" x14ac:dyDescent="0.25">
      <c r="A13" t="s">
        <v>11</v>
      </c>
      <c r="B13" s="1" t="s">
        <v>2</v>
      </c>
      <c r="C13" s="5">
        <v>0.96499999999999997</v>
      </c>
      <c r="H13" t="s">
        <v>11</v>
      </c>
      <c r="I13" s="1" t="s">
        <v>2</v>
      </c>
      <c r="J13" s="5">
        <v>0.96046065300000005</v>
      </c>
    </row>
    <row r="14" spans="1:10" ht="30" x14ac:dyDescent="0.25">
      <c r="A14" t="s">
        <v>11</v>
      </c>
      <c r="B14" s="1" t="s">
        <v>3</v>
      </c>
      <c r="C14" s="5">
        <v>0.97374301699999999</v>
      </c>
      <c r="H14" t="s">
        <v>11</v>
      </c>
      <c r="I14" s="1" t="s">
        <v>3</v>
      </c>
      <c r="J14" s="5">
        <v>0.97811900200000002</v>
      </c>
    </row>
    <row r="15" spans="1:10" x14ac:dyDescent="0.25">
      <c r="A15" t="s">
        <v>12</v>
      </c>
      <c r="B15" s="1" t="s">
        <v>0</v>
      </c>
      <c r="C15" s="5">
        <v>0.89888888899999997</v>
      </c>
      <c r="H15" t="s">
        <v>12</v>
      </c>
      <c r="I15" s="1" t="s">
        <v>0</v>
      </c>
      <c r="J15" s="5">
        <v>0.76644230800000002</v>
      </c>
    </row>
    <row r="16" spans="1:10" ht="30" x14ac:dyDescent="0.25">
      <c r="A16" t="s">
        <v>12</v>
      </c>
      <c r="B16" s="1" t="s">
        <v>1</v>
      </c>
      <c r="C16" s="5">
        <v>0.98872222200000004</v>
      </c>
      <c r="H16" t="s">
        <v>12</v>
      </c>
      <c r="I16" s="1" t="s">
        <v>1</v>
      </c>
      <c r="J16" s="5">
        <v>0.97046153800000001</v>
      </c>
    </row>
    <row r="17" spans="1:13" x14ac:dyDescent="0.25">
      <c r="A17" t="s">
        <v>12</v>
      </c>
      <c r="B17" s="1" t="s">
        <v>2</v>
      </c>
      <c r="C17" s="5">
        <v>0.922666667</v>
      </c>
      <c r="H17" t="s">
        <v>12</v>
      </c>
      <c r="I17" s="1" t="s">
        <v>2</v>
      </c>
      <c r="J17" s="5">
        <v>0.90684615400000002</v>
      </c>
    </row>
    <row r="18" spans="1:13" ht="30" x14ac:dyDescent="0.25">
      <c r="A18" t="s">
        <v>12</v>
      </c>
      <c r="B18" s="1" t="s">
        <v>3</v>
      </c>
      <c r="C18" s="5">
        <v>0.95472222200000001</v>
      </c>
      <c r="H18" t="s">
        <v>12</v>
      </c>
      <c r="I18" s="1" t="s">
        <v>3</v>
      </c>
      <c r="J18" s="5">
        <v>0.95194604999999999</v>
      </c>
    </row>
    <row r="21" spans="1:13" x14ac:dyDescent="0.25">
      <c r="A21" s="3" t="s">
        <v>13</v>
      </c>
      <c r="B21" s="3" t="s">
        <v>14</v>
      </c>
      <c r="H21" s="3" t="s">
        <v>13</v>
      </c>
      <c r="I21" s="3" t="s">
        <v>14</v>
      </c>
    </row>
    <row r="22" spans="1:13" x14ac:dyDescent="0.25">
      <c r="A22" s="3" t="s">
        <v>16</v>
      </c>
      <c r="B22" t="s">
        <v>11</v>
      </c>
      <c r="C22" t="s">
        <v>12</v>
      </c>
      <c r="D22" t="s">
        <v>10</v>
      </c>
      <c r="E22" t="s">
        <v>9</v>
      </c>
      <c r="F22" t="s">
        <v>15</v>
      </c>
      <c r="H22" s="3" t="s">
        <v>16</v>
      </c>
      <c r="I22" t="s">
        <v>11</v>
      </c>
      <c r="J22" t="s">
        <v>12</v>
      </c>
      <c r="K22" t="s">
        <v>10</v>
      </c>
      <c r="L22" t="s">
        <v>9</v>
      </c>
      <c r="M22" t="s">
        <v>15</v>
      </c>
    </row>
    <row r="23" spans="1:13" x14ac:dyDescent="0.25">
      <c r="A23" s="4" t="s">
        <v>0</v>
      </c>
      <c r="B23" s="6">
        <v>0.85888888900000004</v>
      </c>
      <c r="C23" s="6">
        <v>0.89888888899999997</v>
      </c>
      <c r="D23" s="6">
        <v>0.69067039100000005</v>
      </c>
      <c r="E23" s="6">
        <v>0.59433333300000002</v>
      </c>
      <c r="F23" s="6">
        <v>3.0427815019999995</v>
      </c>
      <c r="H23" s="4" t="s">
        <v>0</v>
      </c>
      <c r="I23" s="7">
        <v>0.83896353199999996</v>
      </c>
      <c r="J23" s="7">
        <v>0.76644230800000002</v>
      </c>
      <c r="K23" s="7">
        <v>0.64224371400000002</v>
      </c>
      <c r="L23" s="7">
        <v>0.78520153599999998</v>
      </c>
      <c r="M23" s="7">
        <v>3.0328510900000003</v>
      </c>
    </row>
    <row r="24" spans="1:13" x14ac:dyDescent="0.25">
      <c r="A24" s="4" t="s">
        <v>1</v>
      </c>
      <c r="B24" s="6">
        <v>0.99722222199999999</v>
      </c>
      <c r="C24" s="6">
        <v>0.98872222200000004</v>
      </c>
      <c r="D24" s="6">
        <v>0.94223463699999999</v>
      </c>
      <c r="E24" s="6">
        <v>0.88988888899999996</v>
      </c>
      <c r="F24" s="6">
        <v>3.81806797</v>
      </c>
      <c r="H24" s="4" t="s">
        <v>1</v>
      </c>
      <c r="I24" s="7">
        <v>0.98355769199999998</v>
      </c>
      <c r="J24" s="7">
        <v>0.97046153800000001</v>
      </c>
      <c r="K24" s="7">
        <v>0.94365570600000004</v>
      </c>
      <c r="L24" s="7">
        <v>0.92953934699999996</v>
      </c>
      <c r="M24" s="7">
        <v>3.827214283</v>
      </c>
    </row>
    <row r="25" spans="1:13" x14ac:dyDescent="0.25">
      <c r="A25" s="4" t="s">
        <v>2</v>
      </c>
      <c r="B25" s="6">
        <v>0.96499999999999997</v>
      </c>
      <c r="C25" s="6">
        <v>0.922666667</v>
      </c>
      <c r="D25" s="6">
        <v>0.80536312799999998</v>
      </c>
      <c r="E25" s="6">
        <v>0.65988888899999998</v>
      </c>
      <c r="F25" s="6">
        <v>3.352918684</v>
      </c>
      <c r="H25" s="4" t="s">
        <v>2</v>
      </c>
      <c r="I25" s="7">
        <v>0.96046065300000005</v>
      </c>
      <c r="J25" s="7">
        <v>0.90684615400000002</v>
      </c>
      <c r="K25" s="7">
        <v>0.79361702099999998</v>
      </c>
      <c r="L25" s="7">
        <v>0.83013435700000004</v>
      </c>
      <c r="M25" s="7">
        <v>3.491058185</v>
      </c>
    </row>
    <row r="26" spans="1:13" x14ac:dyDescent="0.25">
      <c r="A26" s="4" t="s">
        <v>3</v>
      </c>
      <c r="B26" s="6">
        <v>0.97374301699999999</v>
      </c>
      <c r="C26" s="6">
        <v>0.95472222200000001</v>
      </c>
      <c r="D26" s="6">
        <v>0.90586592200000005</v>
      </c>
      <c r="E26" s="6">
        <v>0.66816666700000005</v>
      </c>
      <c r="F26" s="6">
        <v>3.5024978279999996</v>
      </c>
      <c r="H26" s="4" t="s">
        <v>3</v>
      </c>
      <c r="I26" s="7">
        <v>0.97811900200000002</v>
      </c>
      <c r="J26" s="7">
        <v>0.95194604999999999</v>
      </c>
      <c r="K26" s="7">
        <v>0.92156673099999997</v>
      </c>
      <c r="L26" s="7">
        <v>0.83748560500000002</v>
      </c>
      <c r="M26" s="7">
        <v>3.6891173880000001</v>
      </c>
    </row>
    <row r="27" spans="1:13" x14ac:dyDescent="0.25">
      <c r="A27" s="4" t="s">
        <v>15</v>
      </c>
      <c r="B27" s="6">
        <v>3.7948541279999999</v>
      </c>
      <c r="C27" s="6">
        <v>3.7650000000000001</v>
      </c>
      <c r="D27" s="6">
        <v>3.3441340780000006</v>
      </c>
      <c r="E27" s="6">
        <v>2.8122777779999999</v>
      </c>
      <c r="F27" s="6">
        <v>13.716265984</v>
      </c>
      <c r="H27" s="4" t="s">
        <v>15</v>
      </c>
      <c r="I27" s="7">
        <v>3.7611008790000002</v>
      </c>
      <c r="J27" s="7">
        <v>3.5956960500000004</v>
      </c>
      <c r="K27" s="7">
        <v>3.3010831719999998</v>
      </c>
      <c r="L27" s="7">
        <v>3.382360845</v>
      </c>
      <c r="M27" s="7">
        <v>14.040240946000001</v>
      </c>
    </row>
  </sheetData>
  <pageMargins left="0.7" right="0.7" top="0.75" bottom="0.75" header="0.3" footer="0.3"/>
  <pageSetup paperSize="9" orientation="portrait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Jeysson Fabricio Chuquín Chuquín</dc:creator>
  <cp:lastModifiedBy>Jeysson Fabricio Chuquín Chuquín</cp:lastModifiedBy>
  <dcterms:created xsi:type="dcterms:W3CDTF">2025-10-13T00:01:39Z</dcterms:created>
  <dcterms:modified xsi:type="dcterms:W3CDTF">2025-10-13T01:17:02Z</dcterms:modified>
</cp:coreProperties>
</file>